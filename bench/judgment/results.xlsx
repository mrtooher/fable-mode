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ers" sheetId="2" state="visible" r:id="rId4"/>
    <sheet name="Planted Erro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<sst xmlns="http://schemas.openxmlformats.org/spreadsheetml/2006/main" count="189" uniqueCount="83">
  <si>
    <t xml:space="preserve">fable-mode-pro v6.1 vs. old rules: blind checker test</t>
  </si>
  <si>
    <t xml:space="preserve">Old = fable-mode v6 step 3/4 rules. New = v6.1 with error-first judgment check (adapted from Ali Assem's wise-men-flash, MIT).</t>
  </si>
  <si>
    <t xml:space="preserve">Test</t>
  </si>
  <si>
    <t xml:space="preserve">Rules</t>
  </si>
  <si>
    <t xml:space="preserve">Checkers</t>
  </si>
  <si>
    <t xml:space="preserve">Caught</t>
  </si>
  <si>
    <t xml:space="preserve">Planted (total)</t>
  </si>
  <si>
    <t xml:space="preserve">Catch rate</t>
  </si>
  <si>
    <t xml:space="preserve">Dissent flagged</t>
  </si>
  <si>
    <t xml:space="preserve">Decoys wrongly flagged</t>
  </si>
  <si>
    <t xml:space="preserve">Nitpick false flags</t>
  </si>
  <si>
    <t xml:space="preserve">Judgment labeled</t>
  </si>
  <si>
    <t xml:space="preserve">Avg tokens</t>
  </si>
  <si>
    <t xml:space="preserve">Test 1: Coravin</t>
  </si>
  <si>
    <t xml:space="preserve">Old (A)</t>
  </si>
  <si>
    <t xml:space="preserve">New (B)</t>
  </si>
  <si>
    <t xml:space="preserve">Test 2: House Cab</t>
  </si>
  <si>
    <t xml:space="preserve">Findings</t>
  </si>
  <si>
    <t xml:space="preserve">• Test 1 (Sonnet, obvious errors): tie, 24/24 both arms. Ceiling effect.</t>
  </si>
  <si>
    <t xml:space="preserve">• Test 2 (Haiku, subtle errors): new rules 30/30 vs old 28/30. Both old misses = strawman 'case against' section.</t>
  </si>
  <si>
    <t xml:space="preserve">• Real gain = dissent check. Rest of error-first list mostly duplicated existing step 3.</t>
  </si>
  <si>
    <t xml:space="preserve">• New rules labeled strategy call 'judgment, not verified' 6 of 6; old 0 of 6.</t>
  </si>
  <si>
    <t xml:space="preserve">• Cost: ~1-2% more tokens per checker.</t>
  </si>
  <si>
    <t xml:space="preserve">• Limits: 12 runs, two memos, all-Claude checkers, author wrote errors and key. Directional, not proof.</t>
  </si>
  <si>
    <t xml:space="preserve">• Answer keys sealed (AES) before launch; SHA-256 prefixes matched on unseal: 3bff45b3ee1457e3, 946c4c2e4520f1f6.</t>
  </si>
  <si>
    <t xml:space="preserve">Checker</t>
  </si>
  <si>
    <t xml:space="preserve">Model</t>
  </si>
  <si>
    <t xml:space="preserve">Planted errors</t>
  </si>
  <si>
    <t xml:space="preserve">Missed</t>
  </si>
  <si>
    <t xml:space="preserve">Dissent flagged (1/0)</t>
  </si>
  <si>
    <t xml:space="preserve">Judgment labeled (1/0)</t>
  </si>
  <si>
    <t xml:space="preserve">Tokens</t>
  </si>
  <si>
    <t xml:space="preserve">Verdict</t>
  </si>
  <si>
    <t xml:space="preserve">A1</t>
  </si>
  <si>
    <t xml:space="preserve">Sonnet</t>
  </si>
  <si>
    <t xml:space="preserve">FAIL</t>
  </si>
  <si>
    <t xml:space="preserve">A2</t>
  </si>
  <si>
    <t xml:space="preserve">A3</t>
  </si>
  <si>
    <t xml:space="preserve">B1</t>
  </si>
  <si>
    <t xml:space="preserve">B2</t>
  </si>
  <si>
    <t xml:space="preserve">B3</t>
  </si>
  <si>
    <t xml:space="preserve">Haiku</t>
  </si>
  <si>
    <t xml:space="preserve">Source: subagent results, this session (2026-10-24). Blue = recorded values; black = formulas.</t>
  </si>
  <si>
    <t xml:space="preserve">ID</t>
  </si>
  <si>
    <t xml:space="preserve">Planted error</t>
  </si>
  <si>
    <t xml:space="preserve">Type</t>
  </si>
  <si>
    <t xml:space="preserve">Old caught</t>
  </si>
  <si>
    <t xml:space="preserve">New caught</t>
  </si>
  <si>
    <t xml:space="preserve">E1</t>
  </si>
  <si>
    <t xml:space="preserve">'$2,200 total' (4 x $450 = $1,800)</t>
  </si>
  <si>
    <t xml:space="preserve">Arithmetic</t>
  </si>
  <si>
    <t xml:space="preserve">E2</t>
  </si>
  <si>
    <t xml:space="preserve">'Fits comfortably within capital budget' (only $1,500 left)</t>
  </si>
  <si>
    <t xml:space="preserve">Contradicts spec</t>
  </si>
  <si>
    <t xml:space="preserve">E3</t>
  </si>
  <si>
    <t xml:space="preserve">'Club X's results prove' sales will rise 15%</t>
  </si>
  <si>
    <t xml:space="preserve">Overstatement</t>
  </si>
  <si>
    <t xml:space="preserve">E4</t>
  </si>
  <si>
    <t xml:space="preserve">Older members will pay more for premium</t>
  </si>
  <si>
    <t xml:space="preserve">Non-sequitur</t>
  </si>
  <si>
    <t xml:space="preserve">E5</t>
  </si>
  <si>
    <t xml:space="preserve">'Coravin always eliminates oxidation waste'</t>
  </si>
  <si>
    <t xml:space="preserve">E6</t>
  </si>
  <si>
    <t xml:space="preserve">'From 10 to 16 wines' (12 to 18)</t>
  </si>
  <si>
    <t xml:space="preserve">E7</t>
  </si>
  <si>
    <t xml:space="preserve">Payback under 4 months ignores $300/mo argon</t>
  </si>
  <si>
    <t xml:space="preserve">Logic</t>
  </si>
  <si>
    <t xml:space="preserve">E8</t>
  </si>
  <si>
    <t xml:space="preserve">Only argument against = staff training</t>
  </si>
  <si>
    <t xml:space="preserve">Strawman dissent</t>
  </si>
  <si>
    <t xml:space="preserve">Net savings '$7,800' (actual $6,744)</t>
  </si>
  <si>
    <t xml:space="preserve">Tasting 'clearly showed' preference (5 vs 4)</t>
  </si>
  <si>
    <t xml:space="preserve">Survey means members 'unlikely to notice'</t>
  </si>
  <si>
    <t xml:space="preserve">New supplier 'lowers our supply risk'</t>
  </si>
  <si>
    <t xml:space="preserve">Pricing 'guaranteed' below Supplier A</t>
  </si>
  <si>
    <t xml:space="preserve">Rebate 'likely to lapse' anyway</t>
  </si>
  <si>
    <t xml:space="preserve">'Supplier B delivers weekly' (every two weeks)</t>
  </si>
  <si>
    <t xml:space="preserve">900 bottles 'under 10%' (18.75%)</t>
  </si>
  <si>
    <t xml:space="preserve">E9</t>
  </si>
  <si>
    <t xml:space="preserve">Move contracted Estate Cabernet bottles to B</t>
  </si>
  <si>
    <t xml:space="preserve">E10</t>
  </si>
  <si>
    <t xml:space="preserve">Case against = 'members may prefer what they know'</t>
  </si>
  <si>
    <t xml:space="preserve">1 = flagged, 0 = missed. Red = missed.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</si>
</sst>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51C30"/>
        <bgColor rgb="FF993366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51C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n">
        <f aca="false">COUNTIFS(Checkers!$A$2:$A$13,$A5,Checkers!$B$2:$B$13,$B5)</f>
        <v>3</v>
      </c>
      <c r="D5" s="2" t="n">
        <f aca="false">SUMIFS(Checkers!$F$2:$F$13,Checkers!$A$2:$A$13,$A5,Checkers!$B$2:$B$13,$B5)</f>
        <v>24</v>
      </c>
      <c r="E5" s="2" t="n">
        <f aca="false">SUMIFS(Checkers!$E$2:$E$13,Checkers!$A$2:$A$13,$A5,Checkers!$B$2:$B$13,$B5)</f>
        <v>24</v>
      </c>
      <c r="F5" s="4" t="n">
        <f aca="false">D5/E5</f>
        <v>1</v>
      </c>
      <c r="G5" s="2" t="str">
        <f aca="false">SUMIFS(Checkers!$I$2:$I$13,Checkers!$A$2:$A$13,$A5,Checkers!$B$2:$B$13,$B5)&amp;" of "&amp;C5</f>
        <v>3 of 3</v>
      </c>
      <c r="H5" s="2" t="n">
        <f aca="false">SUMIFS(Checkers!$J$2:$J$13,Checkers!$A$2:$A$13,$A5,Checkers!$B$2:$B$13,$B5)</f>
        <v>0</v>
      </c>
      <c r="I5" s="2" t="n">
        <f aca="false">SUMIFS(Checkers!$K$2:$K$13,Checkers!$A$2:$A$13,$A5,Checkers!$B$2:$B$13,$B5)</f>
        <v>0</v>
      </c>
      <c r="J5" s="2" t="str">
        <f aca="false">SUMIFS(Checkers!$L$2:$L$13,Checkers!$A$2:$A$13,$A5,Checkers!$B$2:$B$13,$B5)&amp;" of "&amp;C5</f>
        <v>0 of 3</v>
      </c>
      <c r="K5" s="5" t="n">
        <f aca="false">AVERAGEIFS(Checkers!$M$2:$M$13,Checkers!$A$2:$A$13,$A5,Checkers!$B$2:$B$13,$B5)</f>
        <v>86350</v>
      </c>
    </row>
    <row r="6" customFormat="false" ht="15" hidden="false" customHeight="false" outlineLevel="0" collapsed="false">
      <c r="A6" s="2" t="s">
        <v>13</v>
      </c>
      <c r="B6" s="2" t="s">
        <v>15</v>
      </c>
      <c r="C6" s="2" t="n">
        <f aca="false">COUNTIFS(Checkers!$A$2:$A$13,$A6,Checkers!$B$2:$B$13,$B6)</f>
        <v>3</v>
      </c>
      <c r="D6" s="2" t="n">
        <f aca="false">SUMIFS(Checkers!$F$2:$F$13,Checkers!$A$2:$A$13,$A6,Checkers!$B$2:$B$13,$B6)</f>
        <v>24</v>
      </c>
      <c r="E6" s="2" t="n">
        <f aca="false">SUMIFS(Checkers!$E$2:$E$13,Checkers!$A$2:$A$13,$A6,Checkers!$B$2:$B$13,$B6)</f>
        <v>24</v>
      </c>
      <c r="F6" s="4" t="n">
        <f aca="false">D6/E6</f>
        <v>1</v>
      </c>
      <c r="G6" s="2" t="str">
        <f aca="false">SUMIFS(Checkers!$I$2:$I$13,Checkers!$A$2:$A$13,$A6,Checkers!$B$2:$B$13,$B6)&amp;" of "&amp;C6</f>
        <v>3 of 3</v>
      </c>
      <c r="H6" s="2" t="n">
        <f aca="false">SUMIFS(Checkers!$J$2:$J$13,Checkers!$A$2:$A$13,$A6,Checkers!$B$2:$B$13,$B6)</f>
        <v>0</v>
      </c>
      <c r="I6" s="2" t="n">
        <f aca="false">SUMIFS(Checkers!$K$2:$K$13,Checkers!$A$2:$A$13,$A6,Checkers!$B$2:$B$13,$B6)</f>
        <v>0</v>
      </c>
      <c r="J6" s="2" t="str">
        <f aca="false">SUMIFS(Checkers!$L$2:$L$13,Checkers!$A$2:$A$13,$A6,Checkers!$B$2:$B$13,$B6)&amp;" of "&amp;C6</f>
        <v>3 of 3</v>
      </c>
      <c r="K6" s="5" t="n">
        <f aca="false">AVERAGEIFS(Checkers!$M$2:$M$13,Checkers!$A$2:$A$13,$A6,Checkers!$B$2:$B$13,$B6)</f>
        <v>86955</v>
      </c>
    </row>
    <row r="7" customFormat="false" ht="15" hidden="false" customHeight="false" outlineLevel="0" collapsed="false">
      <c r="A7" s="2" t="s">
        <v>16</v>
      </c>
      <c r="B7" s="2" t="s">
        <v>14</v>
      </c>
      <c r="C7" s="2" t="n">
        <f aca="false">COUNTIFS(Checkers!$A$2:$A$13,$A7,Checkers!$B$2:$B$13,$B7)</f>
        <v>3</v>
      </c>
      <c r="D7" s="2" t="n">
        <f aca="false">SUMIFS(Checkers!$F$2:$F$13,Checkers!$A$2:$A$13,$A7,Checkers!$B$2:$B$13,$B7)</f>
        <v>28</v>
      </c>
      <c r="E7" s="2" t="n">
        <f aca="false">SUMIFS(Checkers!$E$2:$E$13,Checkers!$A$2:$A$13,$A7,Checkers!$B$2:$B$13,$B7)</f>
        <v>30</v>
      </c>
      <c r="F7" s="4" t="n">
        <f aca="false">D7/E7</f>
        <v>0.933333333333333</v>
      </c>
      <c r="G7" s="2" t="str">
        <f aca="false">SUMIFS(Checkers!$I$2:$I$13,Checkers!$A$2:$A$13,$A7,Checkers!$B$2:$B$13,$B7)&amp;" of "&amp;C7</f>
        <v>1 of 3</v>
      </c>
      <c r="H7" s="2" t="n">
        <f aca="false">SUMIFS(Checkers!$J$2:$J$13,Checkers!$A$2:$A$13,$A7,Checkers!$B$2:$B$13,$B7)</f>
        <v>0</v>
      </c>
      <c r="I7" s="2" t="n">
        <f aca="false">SUMIFS(Checkers!$K$2:$K$13,Checkers!$A$2:$A$13,$A7,Checkers!$B$2:$B$13,$B7)</f>
        <v>1</v>
      </c>
      <c r="J7" s="2" t="str">
        <f aca="false">SUMIFS(Checkers!$L$2:$L$13,Checkers!$A$2:$A$13,$A7,Checkers!$B$2:$B$13,$B7)&amp;" of "&amp;C7</f>
        <v>0 of 3</v>
      </c>
      <c r="K7" s="5" t="n">
        <f aca="false">AVERAGEIFS(Checkers!$M$2:$M$13,Checkers!$A$2:$A$13,$A7,Checkers!$B$2:$B$13,$B7)</f>
        <v>90424.6666666667</v>
      </c>
    </row>
    <row r="8" customFormat="false" ht="15" hidden="false" customHeight="false" outlineLevel="0" collapsed="false">
      <c r="A8" s="2" t="s">
        <v>16</v>
      </c>
      <c r="B8" s="2" t="s">
        <v>15</v>
      </c>
      <c r="C8" s="2" t="n">
        <f aca="false">COUNTIFS(Checkers!$A$2:$A$13,$A8,Checkers!$B$2:$B$13,$B8)</f>
        <v>3</v>
      </c>
      <c r="D8" s="2" t="n">
        <f aca="false">SUMIFS(Checkers!$F$2:$F$13,Checkers!$A$2:$A$13,$A8,Checkers!$B$2:$B$13,$B8)</f>
        <v>30</v>
      </c>
      <c r="E8" s="2" t="n">
        <f aca="false">SUMIFS(Checkers!$E$2:$E$13,Checkers!$A$2:$A$13,$A8,Checkers!$B$2:$B$13,$B8)</f>
        <v>30</v>
      </c>
      <c r="F8" s="4" t="n">
        <f aca="false">D8/E8</f>
        <v>1</v>
      </c>
      <c r="G8" s="2" t="str">
        <f aca="false">SUMIFS(Checkers!$I$2:$I$13,Checkers!$A$2:$A$13,$A8,Checkers!$B$2:$B$13,$B8)&amp;" of "&amp;C8</f>
        <v>3 of 3</v>
      </c>
      <c r="H8" s="2" t="n">
        <f aca="false">SUMIFS(Checkers!$J$2:$J$13,Checkers!$A$2:$A$13,$A8,Checkers!$B$2:$B$13,$B8)</f>
        <v>0</v>
      </c>
      <c r="I8" s="2" t="n">
        <f aca="false">SUMIFS(Checkers!$K$2:$K$13,Checkers!$A$2:$A$13,$A8,Checkers!$B$2:$B$13,$B8)</f>
        <v>0</v>
      </c>
      <c r="J8" s="2" t="str">
        <f aca="false">SUMIFS(Checkers!$L$2:$L$13,Checkers!$A$2:$A$13,$A8,Checkers!$B$2:$B$13,$B8)&amp;" of "&amp;C8</f>
        <v>3 of 3</v>
      </c>
      <c r="K8" s="5" t="n">
        <f aca="false">AVERAGEIFS(Checkers!$M$2:$M$13,Checkers!$A$2:$A$13,$A8,Checkers!$B$2:$B$13,$B8)</f>
        <v>91952.6666666667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6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2" t="s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" t="s">
        <v>24</v>
      </c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9"/>
  </cols>
  <sheetData>
    <row r="1" customFormat="false" ht="45" hidden="false" customHeight="true" outlineLevel="0" collapsed="false">
      <c r="A1" s="3" t="s">
        <v>2</v>
      </c>
      <c r="B1" s="3" t="s">
        <v>3</v>
      </c>
      <c r="C1" s="3" t="s">
        <v>25</v>
      </c>
      <c r="D1" s="3" t="s">
        <v>26</v>
      </c>
      <c r="E1" s="3" t="s">
        <v>27</v>
      </c>
      <c r="F1" s="3" t="s">
        <v>5</v>
      </c>
      <c r="G1" s="3" t="s">
        <v>28</v>
      </c>
      <c r="H1" s="3" t="s">
        <v>7</v>
      </c>
      <c r="I1" s="3" t="s">
        <v>29</v>
      </c>
      <c r="J1" s="3" t="s">
        <v>9</v>
      </c>
      <c r="K1" s="3" t="s">
        <v>10</v>
      </c>
      <c r="L1" s="3" t="s">
        <v>30</v>
      </c>
      <c r="M1" s="3" t="s">
        <v>31</v>
      </c>
      <c r="N1" s="3" t="s">
        <v>32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33</v>
      </c>
      <c r="D2" s="2" t="s">
        <v>34</v>
      </c>
      <c r="E2" s="2" t="n">
        <v>8</v>
      </c>
      <c r="F2" s="2" t="n">
        <v>8</v>
      </c>
      <c r="G2" s="2" t="n">
        <f aca="false">E2-F2</f>
        <v>0</v>
      </c>
      <c r="H2" s="4" t="n">
        <f aca="false">F2/E2</f>
        <v>1</v>
      </c>
      <c r="I2" s="2" t="n">
        <v>1</v>
      </c>
      <c r="J2" s="2" t="n">
        <v>0</v>
      </c>
      <c r="K2" s="2" t="n">
        <v>0</v>
      </c>
      <c r="L2" s="2" t="n">
        <v>0</v>
      </c>
      <c r="M2" s="5" t="n">
        <v>86452</v>
      </c>
      <c r="N2" s="2" t="s">
        <v>35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36</v>
      </c>
      <c r="D3" s="2" t="s">
        <v>34</v>
      </c>
      <c r="E3" s="2" t="n">
        <v>8</v>
      </c>
      <c r="F3" s="2" t="n">
        <v>8</v>
      </c>
      <c r="G3" s="2" t="n">
        <f aca="false">E3-F3</f>
        <v>0</v>
      </c>
      <c r="H3" s="4" t="n">
        <f aca="false">F3/E3</f>
        <v>1</v>
      </c>
      <c r="I3" s="2" t="n">
        <v>1</v>
      </c>
      <c r="J3" s="2" t="n">
        <v>0</v>
      </c>
      <c r="K3" s="2" t="n">
        <v>0</v>
      </c>
      <c r="L3" s="2" t="n">
        <v>0</v>
      </c>
      <c r="M3" s="5" t="n">
        <v>86409</v>
      </c>
      <c r="N3" s="2" t="s">
        <v>35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37</v>
      </c>
      <c r="D4" s="2" t="s">
        <v>34</v>
      </c>
      <c r="E4" s="2" t="n">
        <v>8</v>
      </c>
      <c r="F4" s="2" t="n">
        <v>8</v>
      </c>
      <c r="G4" s="2" t="n">
        <f aca="false">E4-F4</f>
        <v>0</v>
      </c>
      <c r="H4" s="4" t="n">
        <f aca="false">F4/E4</f>
        <v>1</v>
      </c>
      <c r="I4" s="2" t="n">
        <v>1</v>
      </c>
      <c r="J4" s="2" t="n">
        <v>0</v>
      </c>
      <c r="K4" s="2" t="n">
        <v>0</v>
      </c>
      <c r="L4" s="2" t="n">
        <v>0</v>
      </c>
      <c r="M4" s="5" t="n">
        <v>86189</v>
      </c>
      <c r="N4" s="2" t="s">
        <v>35</v>
      </c>
    </row>
    <row r="5" customFormat="false" ht="15" hidden="false" customHeight="false" outlineLevel="0" collapsed="false">
      <c r="A5" s="2" t="s">
        <v>13</v>
      </c>
      <c r="B5" s="2" t="s">
        <v>15</v>
      </c>
      <c r="C5" s="2" t="s">
        <v>38</v>
      </c>
      <c r="D5" s="2" t="s">
        <v>34</v>
      </c>
      <c r="E5" s="2" t="n">
        <v>8</v>
      </c>
      <c r="F5" s="2" t="n">
        <v>8</v>
      </c>
      <c r="G5" s="2" t="n">
        <f aca="false">E5-F5</f>
        <v>0</v>
      </c>
      <c r="H5" s="4" t="n">
        <f aca="false">F5/E5</f>
        <v>1</v>
      </c>
      <c r="I5" s="2" t="n">
        <v>1</v>
      </c>
      <c r="J5" s="2" t="n">
        <v>0</v>
      </c>
      <c r="K5" s="2" t="n">
        <v>0</v>
      </c>
      <c r="L5" s="2" t="n">
        <v>1</v>
      </c>
      <c r="M5" s="5" t="n">
        <v>86981</v>
      </c>
      <c r="N5" s="2" t="s">
        <v>35</v>
      </c>
    </row>
    <row r="6" customFormat="false" ht="15" hidden="false" customHeight="false" outlineLevel="0" collapsed="false">
      <c r="A6" s="2" t="s">
        <v>13</v>
      </c>
      <c r="B6" s="2" t="s">
        <v>15</v>
      </c>
      <c r="C6" s="2" t="s">
        <v>39</v>
      </c>
      <c r="D6" s="2" t="s">
        <v>34</v>
      </c>
      <c r="E6" s="2" t="n">
        <v>8</v>
      </c>
      <c r="F6" s="2" t="n">
        <v>8</v>
      </c>
      <c r="G6" s="2" t="n">
        <f aca="false">E6-F6</f>
        <v>0</v>
      </c>
      <c r="H6" s="4" t="n">
        <f aca="false">F6/E6</f>
        <v>1</v>
      </c>
      <c r="I6" s="2" t="n">
        <v>1</v>
      </c>
      <c r="J6" s="2" t="n">
        <v>0</v>
      </c>
      <c r="K6" s="2" t="n">
        <v>0</v>
      </c>
      <c r="L6" s="2" t="n">
        <v>1</v>
      </c>
      <c r="M6" s="5" t="n">
        <v>86961</v>
      </c>
      <c r="N6" s="2" t="s">
        <v>35</v>
      </c>
    </row>
    <row r="7" customFormat="false" ht="15" hidden="false" customHeight="false" outlineLevel="0" collapsed="false">
      <c r="A7" s="2" t="s">
        <v>13</v>
      </c>
      <c r="B7" s="2" t="s">
        <v>15</v>
      </c>
      <c r="C7" s="2" t="s">
        <v>40</v>
      </c>
      <c r="D7" s="2" t="s">
        <v>34</v>
      </c>
      <c r="E7" s="2" t="n">
        <v>8</v>
      </c>
      <c r="F7" s="2" t="n">
        <v>8</v>
      </c>
      <c r="G7" s="2" t="n">
        <f aca="false">E7-F7</f>
        <v>0</v>
      </c>
      <c r="H7" s="4" t="n">
        <f aca="false">F7/E7</f>
        <v>1</v>
      </c>
      <c r="I7" s="2" t="n">
        <v>1</v>
      </c>
      <c r="J7" s="2" t="n">
        <v>0</v>
      </c>
      <c r="K7" s="2" t="n">
        <v>0</v>
      </c>
      <c r="L7" s="2" t="n">
        <v>1</v>
      </c>
      <c r="M7" s="5" t="n">
        <v>86923</v>
      </c>
      <c r="N7" s="2" t="s">
        <v>35</v>
      </c>
    </row>
    <row r="8" customFormat="false" ht="15" hidden="false" customHeight="false" outlineLevel="0" collapsed="false">
      <c r="A8" s="2" t="s">
        <v>16</v>
      </c>
      <c r="B8" s="2" t="s">
        <v>14</v>
      </c>
      <c r="C8" s="2" t="s">
        <v>33</v>
      </c>
      <c r="D8" s="2" t="s">
        <v>41</v>
      </c>
      <c r="E8" s="2" t="n">
        <v>10</v>
      </c>
      <c r="F8" s="2" t="n">
        <v>9</v>
      </c>
      <c r="G8" s="2" t="n">
        <f aca="false">E8-F8</f>
        <v>1</v>
      </c>
      <c r="H8" s="4" t="n">
        <f aca="false">F8/E8</f>
        <v>0.9</v>
      </c>
      <c r="I8" s="2" t="n">
        <v>0</v>
      </c>
      <c r="J8" s="2" t="n">
        <v>0</v>
      </c>
      <c r="K8" s="2" t="n">
        <v>1</v>
      </c>
      <c r="L8" s="2" t="n">
        <v>0</v>
      </c>
      <c r="M8" s="5" t="n">
        <v>91471</v>
      </c>
      <c r="N8" s="2" t="s">
        <v>35</v>
      </c>
    </row>
    <row r="9" customFormat="false" ht="15" hidden="false" customHeight="false" outlineLevel="0" collapsed="false">
      <c r="A9" s="2" t="s">
        <v>16</v>
      </c>
      <c r="B9" s="2" t="s">
        <v>14</v>
      </c>
      <c r="C9" s="2" t="s">
        <v>36</v>
      </c>
      <c r="D9" s="2" t="s">
        <v>41</v>
      </c>
      <c r="E9" s="2" t="n">
        <v>10</v>
      </c>
      <c r="F9" s="2" t="n">
        <v>9</v>
      </c>
      <c r="G9" s="2" t="n">
        <f aca="false">E9-F9</f>
        <v>1</v>
      </c>
      <c r="H9" s="4" t="n">
        <f aca="false">F9/E9</f>
        <v>0.9</v>
      </c>
      <c r="I9" s="2" t="n">
        <v>0</v>
      </c>
      <c r="J9" s="2" t="n">
        <v>0</v>
      </c>
      <c r="K9" s="2" t="n">
        <v>0</v>
      </c>
      <c r="L9" s="2" t="n">
        <v>0</v>
      </c>
      <c r="M9" s="5" t="n">
        <v>90022</v>
      </c>
      <c r="N9" s="2" t="s">
        <v>35</v>
      </c>
    </row>
    <row r="10" customFormat="false" ht="15" hidden="false" customHeight="false" outlineLevel="0" collapsed="false">
      <c r="A10" s="2" t="s">
        <v>16</v>
      </c>
      <c r="B10" s="2" t="s">
        <v>14</v>
      </c>
      <c r="C10" s="2" t="s">
        <v>37</v>
      </c>
      <c r="D10" s="2" t="s">
        <v>41</v>
      </c>
      <c r="E10" s="2" t="n">
        <v>10</v>
      </c>
      <c r="F10" s="2" t="n">
        <v>10</v>
      </c>
      <c r="G10" s="2" t="n">
        <f aca="false">E10-F10</f>
        <v>0</v>
      </c>
      <c r="H10" s="4" t="n">
        <f aca="false">F10/E10</f>
        <v>1</v>
      </c>
      <c r="I10" s="2" t="n">
        <v>1</v>
      </c>
      <c r="J10" s="2" t="n">
        <v>0</v>
      </c>
      <c r="K10" s="2" t="n">
        <v>0</v>
      </c>
      <c r="L10" s="2" t="n">
        <v>0</v>
      </c>
      <c r="M10" s="5" t="n">
        <v>89781</v>
      </c>
      <c r="N10" s="2" t="s">
        <v>35</v>
      </c>
    </row>
    <row r="11" customFormat="false" ht="15" hidden="false" customHeight="false" outlineLevel="0" collapsed="false">
      <c r="A11" s="2" t="s">
        <v>16</v>
      </c>
      <c r="B11" s="2" t="s">
        <v>15</v>
      </c>
      <c r="C11" s="2" t="s">
        <v>38</v>
      </c>
      <c r="D11" s="2" t="s">
        <v>41</v>
      </c>
      <c r="E11" s="2" t="n">
        <v>10</v>
      </c>
      <c r="F11" s="2" t="n">
        <v>10</v>
      </c>
      <c r="G11" s="2" t="n">
        <f aca="false">E11-F11</f>
        <v>0</v>
      </c>
      <c r="H11" s="4" t="n">
        <f aca="false">F11/E11</f>
        <v>1</v>
      </c>
      <c r="I11" s="2" t="n">
        <v>1</v>
      </c>
      <c r="J11" s="2" t="n">
        <v>0</v>
      </c>
      <c r="K11" s="2" t="n">
        <v>0</v>
      </c>
      <c r="L11" s="2" t="n">
        <v>1</v>
      </c>
      <c r="M11" s="5" t="n">
        <v>91072</v>
      </c>
      <c r="N11" s="2" t="s">
        <v>35</v>
      </c>
    </row>
    <row r="12" customFormat="false" ht="15" hidden="false" customHeight="false" outlineLevel="0" collapsed="false">
      <c r="A12" s="2" t="s">
        <v>16</v>
      </c>
      <c r="B12" s="2" t="s">
        <v>15</v>
      </c>
      <c r="C12" s="2" t="s">
        <v>39</v>
      </c>
      <c r="D12" s="2" t="s">
        <v>41</v>
      </c>
      <c r="E12" s="2" t="n">
        <v>10</v>
      </c>
      <c r="F12" s="2" t="n">
        <v>10</v>
      </c>
      <c r="G12" s="2" t="n">
        <f aca="false">E12-F12</f>
        <v>0</v>
      </c>
      <c r="H12" s="4" t="n">
        <f aca="false">F12/E12</f>
        <v>1</v>
      </c>
      <c r="I12" s="2" t="n">
        <v>1</v>
      </c>
      <c r="J12" s="2" t="n">
        <v>0</v>
      </c>
      <c r="K12" s="2" t="n">
        <v>0</v>
      </c>
      <c r="L12" s="2" t="n">
        <v>1</v>
      </c>
      <c r="M12" s="5" t="n">
        <v>91393</v>
      </c>
      <c r="N12" s="2" t="s">
        <v>35</v>
      </c>
    </row>
    <row r="13" customFormat="false" ht="15" hidden="false" customHeight="false" outlineLevel="0" collapsed="false">
      <c r="A13" s="2" t="s">
        <v>16</v>
      </c>
      <c r="B13" s="2" t="s">
        <v>15</v>
      </c>
      <c r="C13" s="2" t="s">
        <v>40</v>
      </c>
      <c r="D13" s="2" t="s">
        <v>41</v>
      </c>
      <c r="E13" s="2" t="n">
        <v>10</v>
      </c>
      <c r="F13" s="2" t="n">
        <v>10</v>
      </c>
      <c r="G13" s="2" t="n">
        <f aca="false">E13-F13</f>
        <v>0</v>
      </c>
      <c r="H13" s="4" t="n">
        <f aca="false">F13/E13</f>
        <v>1</v>
      </c>
      <c r="I13" s="2" t="n">
        <v>1</v>
      </c>
      <c r="J13" s="2" t="n">
        <v>0</v>
      </c>
      <c r="K13" s="2" t="n">
        <v>0</v>
      </c>
      <c r="L13" s="2" t="n">
        <v>1</v>
      </c>
      <c r="M13" s="5" t="n">
        <v>93393</v>
      </c>
      <c r="N13" s="2" t="s">
        <v>35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42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7"/>
    <col collapsed="false" customWidth="true" hidden="false" outlineLevel="0" max="10" min="5" style="0" width="6"/>
    <col collapsed="false" customWidth="true" hidden="false" outlineLevel="0" max="12" min="11" style="0" width="10"/>
  </cols>
  <sheetData>
    <row r="1" customFormat="false" ht="26.85" hidden="false" customHeight="false" outlineLevel="0" collapsed="false">
      <c r="A1" s="3" t="s">
        <v>2</v>
      </c>
      <c r="B1" s="3" t="s">
        <v>43</v>
      </c>
      <c r="C1" s="3" t="s">
        <v>44</v>
      </c>
      <c r="D1" s="3" t="s">
        <v>45</v>
      </c>
      <c r="E1" s="3" t="s">
        <v>33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46</v>
      </c>
      <c r="L1" s="3" t="s">
        <v>47</v>
      </c>
    </row>
    <row r="2" customFormat="false" ht="15" hidden="false" customHeight="false" outlineLevel="0" collapsed="false">
      <c r="A2" s="2" t="s">
        <v>13</v>
      </c>
      <c r="B2" s="2" t="s">
        <v>48</v>
      </c>
      <c r="C2" s="2" t="s">
        <v>49</v>
      </c>
      <c r="D2" s="2" t="s">
        <v>50</v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2" t="str">
        <f aca="false">SUM(E2:G2)&amp;"/3"</f>
        <v>3/3</v>
      </c>
      <c r="L2" s="2" t="str">
        <f aca="false">SUM(H2:J2)&amp;"/3"</f>
        <v>3/3</v>
      </c>
    </row>
    <row r="3" customFormat="false" ht="15" hidden="false" customHeight="false" outlineLevel="0" collapsed="false">
      <c r="A3" s="2" t="s">
        <v>13</v>
      </c>
      <c r="B3" s="2" t="s">
        <v>51</v>
      </c>
      <c r="C3" s="2" t="s">
        <v>52</v>
      </c>
      <c r="D3" s="2" t="s">
        <v>53</v>
      </c>
      <c r="E3" s="7" t="n">
        <v>1</v>
      </c>
      <c r="F3" s="7" t="n">
        <v>1</v>
      </c>
      <c r="G3" s="7" t="n">
        <v>1</v>
      </c>
      <c r="H3" s="7" t="n">
        <v>1</v>
      </c>
      <c r="I3" s="7" t="n">
        <v>1</v>
      </c>
      <c r="J3" s="7" t="n">
        <v>1</v>
      </c>
      <c r="K3" s="2" t="str">
        <f aca="false">SUM(E3:G3)&amp;"/3"</f>
        <v>3/3</v>
      </c>
      <c r="L3" s="2" t="str">
        <f aca="false">SUM(H3:J3)&amp;"/3"</f>
        <v>3/3</v>
      </c>
    </row>
    <row r="4" customFormat="false" ht="15" hidden="false" customHeight="false" outlineLevel="0" collapsed="false">
      <c r="A4" s="2" t="s">
        <v>13</v>
      </c>
      <c r="B4" s="2" t="s">
        <v>54</v>
      </c>
      <c r="C4" s="2" t="s">
        <v>55</v>
      </c>
      <c r="D4" s="2" t="s">
        <v>56</v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2" t="str">
        <f aca="false">SUM(E4:G4)&amp;"/3"</f>
        <v>3/3</v>
      </c>
      <c r="L4" s="2" t="str">
        <f aca="false">SUM(H4:J4)&amp;"/3"</f>
        <v>3/3</v>
      </c>
    </row>
    <row r="5" customFormat="false" ht="15" hidden="false" customHeight="false" outlineLevel="0" collapsed="false">
      <c r="A5" s="2" t="s">
        <v>13</v>
      </c>
      <c r="B5" s="2" t="s">
        <v>57</v>
      </c>
      <c r="C5" s="2" t="s">
        <v>58</v>
      </c>
      <c r="D5" s="2" t="s">
        <v>59</v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2" t="str">
        <f aca="false">SUM(E5:G5)&amp;"/3"</f>
        <v>3/3</v>
      </c>
      <c r="L5" s="2" t="str">
        <f aca="false">SUM(H5:J5)&amp;"/3"</f>
        <v>3/3</v>
      </c>
    </row>
    <row r="6" customFormat="false" ht="15" hidden="false" customHeight="false" outlineLevel="0" collapsed="false">
      <c r="A6" s="2" t="s">
        <v>13</v>
      </c>
      <c r="B6" s="2" t="s">
        <v>60</v>
      </c>
      <c r="C6" s="2" t="s">
        <v>61</v>
      </c>
      <c r="D6" s="2" t="s">
        <v>56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2" t="str">
        <f aca="false">SUM(E6:G6)&amp;"/3"</f>
        <v>3/3</v>
      </c>
      <c r="L6" s="2" t="str">
        <f aca="false">SUM(H6:J6)&amp;"/3"</f>
        <v>3/3</v>
      </c>
    </row>
    <row r="7" customFormat="false" ht="15" hidden="false" customHeight="false" outlineLevel="0" collapsed="false">
      <c r="A7" s="2" t="s">
        <v>13</v>
      </c>
      <c r="B7" s="2" t="s">
        <v>62</v>
      </c>
      <c r="C7" s="2" t="s">
        <v>63</v>
      </c>
      <c r="D7" s="2" t="s">
        <v>53</v>
      </c>
      <c r="E7" s="7" t="n">
        <v>1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2" t="str">
        <f aca="false">SUM(E7:G7)&amp;"/3"</f>
        <v>3/3</v>
      </c>
      <c r="L7" s="2" t="str">
        <f aca="false">SUM(H7:J7)&amp;"/3"</f>
        <v>3/3</v>
      </c>
    </row>
    <row r="8" customFormat="false" ht="15" hidden="false" customHeight="false" outlineLevel="0" collapsed="false">
      <c r="A8" s="2" t="s">
        <v>13</v>
      </c>
      <c r="B8" s="2" t="s">
        <v>64</v>
      </c>
      <c r="C8" s="2" t="s">
        <v>65</v>
      </c>
      <c r="D8" s="2" t="s">
        <v>66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2" t="str">
        <f aca="false">SUM(E8:G8)&amp;"/3"</f>
        <v>3/3</v>
      </c>
      <c r="L8" s="2" t="str">
        <f aca="false">SUM(H8:J8)&amp;"/3"</f>
        <v>3/3</v>
      </c>
    </row>
    <row r="9" customFormat="false" ht="15" hidden="false" customHeight="false" outlineLevel="0" collapsed="false">
      <c r="A9" s="2" t="s">
        <v>13</v>
      </c>
      <c r="B9" s="2" t="s">
        <v>67</v>
      </c>
      <c r="C9" s="2" t="s">
        <v>68</v>
      </c>
      <c r="D9" s="2" t="s">
        <v>69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2" t="str">
        <f aca="false">SUM(E9:G9)&amp;"/3"</f>
        <v>3/3</v>
      </c>
      <c r="L9" s="2" t="str">
        <f aca="false">SUM(H9:J9)&amp;"/3"</f>
        <v>3/3</v>
      </c>
    </row>
    <row r="10" customFormat="false" ht="15" hidden="false" customHeight="false" outlineLevel="0" collapsed="false">
      <c r="A10" s="2" t="s">
        <v>16</v>
      </c>
      <c r="B10" s="2" t="s">
        <v>48</v>
      </c>
      <c r="C10" s="2" t="s">
        <v>70</v>
      </c>
      <c r="D10" s="2" t="s">
        <v>50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2" t="str">
        <f aca="false">SUM(E10:G10)&amp;"/3"</f>
        <v>3/3</v>
      </c>
      <c r="L10" s="2" t="str">
        <f aca="false">SUM(H10:J10)&amp;"/3"</f>
        <v>3/3</v>
      </c>
    </row>
    <row r="11" customFormat="false" ht="15" hidden="false" customHeight="false" outlineLevel="0" collapsed="false">
      <c r="A11" s="2" t="s">
        <v>16</v>
      </c>
      <c r="B11" s="2" t="s">
        <v>51</v>
      </c>
      <c r="C11" s="2" t="s">
        <v>71</v>
      </c>
      <c r="D11" s="2" t="s">
        <v>56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2" t="str">
        <f aca="false">SUM(E11:G11)&amp;"/3"</f>
        <v>3/3</v>
      </c>
      <c r="L11" s="2" t="str">
        <f aca="false">SUM(H11:J11)&amp;"/3"</f>
        <v>3/3</v>
      </c>
    </row>
    <row r="12" customFormat="false" ht="15" hidden="false" customHeight="false" outlineLevel="0" collapsed="false">
      <c r="A12" s="2" t="s">
        <v>16</v>
      </c>
      <c r="B12" s="2" t="s">
        <v>54</v>
      </c>
      <c r="C12" s="2" t="s">
        <v>72</v>
      </c>
      <c r="D12" s="2" t="s">
        <v>59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2" t="str">
        <f aca="false">SUM(E12:G12)&amp;"/3"</f>
        <v>3/3</v>
      </c>
      <c r="L12" s="2" t="str">
        <f aca="false">SUM(H12:J12)&amp;"/3"</f>
        <v>3/3</v>
      </c>
    </row>
    <row r="13" customFormat="false" ht="15" hidden="false" customHeight="false" outlineLevel="0" collapsed="false">
      <c r="A13" s="2" t="s">
        <v>16</v>
      </c>
      <c r="B13" s="2" t="s">
        <v>57</v>
      </c>
      <c r="C13" s="2" t="s">
        <v>73</v>
      </c>
      <c r="D13" s="2" t="s">
        <v>66</v>
      </c>
      <c r="E13" s="7" t="n">
        <v>1</v>
      </c>
      <c r="F13" s="7" t="n">
        <v>1</v>
      </c>
      <c r="G13" s="7" t="n">
        <v>1</v>
      </c>
      <c r="H13" s="7" t="n">
        <v>1</v>
      </c>
      <c r="I13" s="7" t="n">
        <v>1</v>
      </c>
      <c r="J13" s="7" t="n">
        <v>1</v>
      </c>
      <c r="K13" s="2" t="str">
        <f aca="false">SUM(E13:G13)&amp;"/3"</f>
        <v>3/3</v>
      </c>
      <c r="L13" s="2" t="str">
        <f aca="false">SUM(H13:J13)&amp;"/3"</f>
        <v>3/3</v>
      </c>
    </row>
    <row r="14" customFormat="false" ht="15" hidden="false" customHeight="false" outlineLevel="0" collapsed="false">
      <c r="A14" s="2" t="s">
        <v>16</v>
      </c>
      <c r="B14" s="2" t="s">
        <v>60</v>
      </c>
      <c r="C14" s="2" t="s">
        <v>74</v>
      </c>
      <c r="D14" s="2" t="s">
        <v>53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2" t="str">
        <f aca="false">SUM(E14:G14)&amp;"/3"</f>
        <v>3/3</v>
      </c>
      <c r="L14" s="2" t="str">
        <f aca="false">SUM(H14:J14)&amp;"/3"</f>
        <v>3/3</v>
      </c>
    </row>
    <row r="15" customFormat="false" ht="15" hidden="false" customHeight="false" outlineLevel="0" collapsed="false">
      <c r="A15" s="2" t="s">
        <v>16</v>
      </c>
      <c r="B15" s="2" t="s">
        <v>62</v>
      </c>
      <c r="C15" s="2" t="s">
        <v>75</v>
      </c>
      <c r="D15" s="2" t="s">
        <v>53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2" t="str">
        <f aca="false">SUM(E15:G15)&amp;"/3"</f>
        <v>3/3</v>
      </c>
      <c r="L15" s="2" t="str">
        <f aca="false">SUM(H15:J15)&amp;"/3"</f>
        <v>3/3</v>
      </c>
    </row>
    <row r="16" customFormat="false" ht="15" hidden="false" customHeight="false" outlineLevel="0" collapsed="false">
      <c r="A16" s="2" t="s">
        <v>16</v>
      </c>
      <c r="B16" s="2" t="s">
        <v>64</v>
      </c>
      <c r="C16" s="2" t="s">
        <v>76</v>
      </c>
      <c r="D16" s="2" t="s">
        <v>53</v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2" t="str">
        <f aca="false">SUM(E16:G16)&amp;"/3"</f>
        <v>3/3</v>
      </c>
      <c r="L16" s="2" t="str">
        <f aca="false">SUM(H16:J16)&amp;"/3"</f>
        <v>3/3</v>
      </c>
    </row>
    <row r="17" customFormat="false" ht="15" hidden="false" customHeight="false" outlineLevel="0" collapsed="false">
      <c r="A17" s="2" t="s">
        <v>16</v>
      </c>
      <c r="B17" s="2" t="s">
        <v>67</v>
      </c>
      <c r="C17" s="2" t="s">
        <v>77</v>
      </c>
      <c r="D17" s="2" t="s">
        <v>50</v>
      </c>
      <c r="E17" s="7" t="n">
        <v>1</v>
      </c>
      <c r="F17" s="7" t="n">
        <v>1</v>
      </c>
      <c r="G17" s="7" t="n">
        <v>1</v>
      </c>
      <c r="H17" s="7" t="n">
        <v>1</v>
      </c>
      <c r="I17" s="7" t="n">
        <v>1</v>
      </c>
      <c r="J17" s="7" t="n">
        <v>1</v>
      </c>
      <c r="K17" s="2" t="str">
        <f aca="false">SUM(E17:G17)&amp;"/3"</f>
        <v>3/3</v>
      </c>
      <c r="L17" s="2" t="str">
        <f aca="false">SUM(H17:J17)&amp;"/3"</f>
        <v>3/3</v>
      </c>
    </row>
    <row r="18" customFormat="false" ht="15" hidden="false" customHeight="false" outlineLevel="0" collapsed="false">
      <c r="A18" s="2" t="s">
        <v>16</v>
      </c>
      <c r="B18" s="2" t="s">
        <v>78</v>
      </c>
      <c r="C18" s="2" t="s">
        <v>79</v>
      </c>
      <c r="D18" s="2" t="s">
        <v>53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2" t="str">
        <f aca="false">SUM(E18:G18)&amp;"/3"</f>
        <v>3/3</v>
      </c>
      <c r="L18" s="2" t="str">
        <f aca="false">SUM(H18:J18)&amp;"/3"</f>
        <v>3/3</v>
      </c>
    </row>
    <row r="19" customFormat="false" ht="15" hidden="false" customHeight="false" outlineLevel="0" collapsed="false">
      <c r="A19" s="2" t="s">
        <v>16</v>
      </c>
      <c r="B19" s="2" t="s">
        <v>80</v>
      </c>
      <c r="C19" s="2" t="s">
        <v>81</v>
      </c>
      <c r="D19" s="2" t="s">
        <v>69</v>
      </c>
      <c r="E19" s="8" t="n">
        <v>0</v>
      </c>
      <c r="F19" s="8" t="n">
        <v>0</v>
      </c>
      <c r="G19" s="7" t="n">
        <v>1</v>
      </c>
      <c r="H19" s="7" t="n">
        <v>1</v>
      </c>
      <c r="I19" s="7" t="n">
        <v>1</v>
      </c>
      <c r="J19" s="7" t="n">
        <v>1</v>
      </c>
      <c r="K19" s="2" t="str">
        <f aca="false">SUM(E19:G19)&amp;"/3"</f>
        <v>1/3</v>
      </c>
      <c r="L19" s="2" t="str">
        <f aca="false">SUM(H19:J19)&amp;"/3"</f>
        <v>3/3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 t="s">
        <v>82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2026-10-24T20:46:31Z</dcterms:created>
  <dc:creator>openpyxl</dc:creator>
  <dc:description/>
  <dc:language>en-US</dc:language>
  <cp:lastModifiedBy/>
  <dcterms:modified xsi:type="dcterms:W3CDTF">2026-10-24T20:46:31Z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